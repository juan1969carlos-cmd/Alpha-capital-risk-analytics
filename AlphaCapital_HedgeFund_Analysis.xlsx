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Executive Dashboard" sheetId="1" state="visible" r:id="rId3"/>
    <sheet name="📉 Risk Metrics" sheetId="2" state="visible" r:id="rId4"/>
    <sheet name="📖 Methodolog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<sst xmlns="http://schemas.openxmlformats.org/spreadsheetml/2006/main" count="168" uniqueCount="163">
  <si>
    <t xml:space="preserve">ALPHA CAPITAL MANAGEMENT  |  PORTFOLIO RISK ANALYTICS DASHBOARD</t>
  </si>
  <si>
    <t xml:space="preserve">Q1 2026  |  AUM: $500,000,000  |  Markowitz Optimization + VaR Analytics</t>
  </si>
  <si>
    <t xml:space="preserve">KEY PERFORMANCE INDICATORS  —  CURRENT vs OPTIMIZED PORTFOLIO</t>
  </si>
  <si>
    <t xml:space="preserve">SHARPE RATIO</t>
  </si>
  <si>
    <t xml:space="preserve">ANN. RETURN</t>
  </si>
  <si>
    <t xml:space="preserve">VOLATILITY</t>
  </si>
  <si>
    <t xml:space="preserve">VaR 99% (1d)</t>
  </si>
  <si>
    <t xml:space="preserve">CVaR 99% (1d)</t>
  </si>
  <si>
    <t xml:space="preserve">PORTFOLIO BETA</t>
  </si>
  <si>
    <t xml:space="preserve">0.948 → 1.296</t>
  </si>
  <si>
    <t xml:space="preserve">23.2% → 29.9%</t>
  </si>
  <si>
    <t xml:space="preserve">18.9% → 19.0%</t>
  </si>
  <si>
    <t xml:space="preserve">$13.7M → $13.5M</t>
  </si>
  <si>
    <t xml:space="preserve">$16.1M → $15.7M</t>
  </si>
  <si>
    <t xml:space="preserve">1.111 → 1.073</t>
  </si>
  <si>
    <t xml:space="preserve">▲ +36.8%</t>
  </si>
  <si>
    <t xml:space="preserve">▲ +7bps</t>
  </si>
  <si>
    <t xml:space="preserve">~Equal</t>
  </si>
  <si>
    <t xml:space="preserve">▼ Reduced</t>
  </si>
  <si>
    <t xml:space="preserve">▼ Lower tail risk</t>
  </si>
  <si>
    <t xml:space="preserve">▼ Less market risk</t>
  </si>
  <si>
    <t xml:space="preserve">PORTFOLIO ALLOCATION  —  CURRENT vs OPTIMAL WEIGHTS</t>
  </si>
  <si>
    <t xml:space="preserve">TICKER</t>
  </si>
  <si>
    <t xml:space="preserve">SECTOR</t>
  </si>
  <si>
    <t xml:space="preserve">CUR WEIGHT</t>
  </si>
  <si>
    <t xml:space="preserve">OPT WEIGHT</t>
  </si>
  <si>
    <t xml:space="preserve">Δ CHANGE</t>
  </si>
  <si>
    <t xml:space="preserve">CUR VALUE ($M)</t>
  </si>
  <si>
    <t xml:space="preserve">OPT VALUE ($M)</t>
  </si>
  <si>
    <t xml:space="preserve">AAPL</t>
  </si>
  <si>
    <t xml:space="preserve">Technology</t>
  </si>
  <si>
    <t xml:space="preserve">▲ 7.0%</t>
  </si>
  <si>
    <t xml:space="preserve">MSFT</t>
  </si>
  <si>
    <t xml:space="preserve">▲ 10.0%</t>
  </si>
  <si>
    <t xml:space="preserve">GOOGL</t>
  </si>
  <si>
    <t xml:space="preserve">▼ 7.3%</t>
  </si>
  <si>
    <t xml:space="preserve">AMZN</t>
  </si>
  <si>
    <t xml:space="preserve">Consumer Discretionary</t>
  </si>
  <si>
    <t xml:space="preserve">▼ 8.0%</t>
  </si>
  <si>
    <t xml:space="preserve">NVDA</t>
  </si>
  <si>
    <t xml:space="preserve">▲ 2.3%</t>
  </si>
  <si>
    <t xml:space="preserve">JPM</t>
  </si>
  <si>
    <t xml:space="preserve">Financials</t>
  </si>
  <si>
    <t xml:space="preserve">▼ 10.0%</t>
  </si>
  <si>
    <t xml:space="preserve">GS</t>
  </si>
  <si>
    <t xml:space="preserve">▼ 6.0%</t>
  </si>
  <si>
    <t xml:space="preserve">BAC</t>
  </si>
  <si>
    <t xml:space="preserve">▼ 5.0%</t>
  </si>
  <si>
    <t xml:space="preserve">XOM</t>
  </si>
  <si>
    <t xml:space="preserve">Energy</t>
  </si>
  <si>
    <t xml:space="preserve">▼ 3.0%</t>
  </si>
  <si>
    <t xml:space="preserve">JNJ</t>
  </si>
  <si>
    <t xml:space="preserve">Healthcare</t>
  </si>
  <si>
    <t xml:space="preserve">▲ 20.0%</t>
  </si>
  <si>
    <t xml:space="preserve">TOTAL</t>
  </si>
  <si>
    <t xml:space="preserve">MONTE CARLO SIMULATION  —  12-MONTH PORTFOLIO PROJECTION (10,000 Scenarios)</t>
  </si>
  <si>
    <t xml:space="preserve">Scenario</t>
  </si>
  <si>
    <t xml:space="preserve">Portfolio Value ($M)</t>
  </si>
  <si>
    <t xml:space="preserve">Expected Return</t>
  </si>
  <si>
    <t xml:space="preserve">vs AUM Gain ($M)</t>
  </si>
  <si>
    <t xml:space="preserve">Pessimistic Case (P5)</t>
  </si>
  <si>
    <t xml:space="preserve">Base Case (P50)</t>
  </si>
  <si>
    <t xml:space="preserve">Optimistic Case (P95)</t>
  </si>
  <si>
    <t xml:space="preserve">⚠ This model is for educational/portfolio purposes. Blue cells = hardcoded inputs. Past simulated performance ≠ future results. Risk metrics assume normal distribution of returns.</t>
  </si>
  <si>
    <t xml:space="preserve">RISK METRICS &amp; REGULATORY ANALYTICS  —  Alpha Capital Management</t>
  </si>
  <si>
    <t xml:space="preserve">METRIC</t>
  </si>
  <si>
    <t xml:space="preserve">DEFINITION</t>
  </si>
  <si>
    <t xml:space="preserve">CURRENT</t>
  </si>
  <si>
    <t xml:space="preserve">OPTIMAL</t>
  </si>
  <si>
    <t xml:space="preserve">STATUS</t>
  </si>
  <si>
    <t xml:space="preserve">Value at Risk (VaR) 99%</t>
  </si>
  <si>
    <t xml:space="preserve">Max 1-day loss with 99% confidence</t>
  </si>
  <si>
    <t xml:space="preserve">$13.73M</t>
  </si>
  <si>
    <t xml:space="preserve">$13.54M</t>
  </si>
  <si>
    <t xml:space="preserve">✔ Within limit</t>
  </si>
  <si>
    <t xml:space="preserve">CVaR / Exp Shortfall</t>
  </si>
  <si>
    <t xml:space="preserve">Avg loss beyond VaR threshold</t>
  </si>
  <si>
    <t xml:space="preserve">$16.08M</t>
  </si>
  <si>
    <t xml:space="preserve">$15.67M</t>
  </si>
  <si>
    <t xml:space="preserve">✔ Improved</t>
  </si>
  <si>
    <t xml:space="preserve">Portfolio Beta</t>
  </si>
  <si>
    <t xml:space="preserve">Sensitivity to S&amp;P 500 moves</t>
  </si>
  <si>
    <t xml:space="preserve">1.111</t>
  </si>
  <si>
    <t xml:space="preserve">1.073</t>
  </si>
  <si>
    <t xml:space="preserve">✔ Reduced</t>
  </si>
  <si>
    <t xml:space="preserve">Sharpe Ratio</t>
  </si>
  <si>
    <t xml:space="preserve">(Return - Rf) / Volatility</t>
  </si>
  <si>
    <t xml:space="preserve">0.948</t>
  </si>
  <si>
    <t xml:space="preserve">1.296</t>
  </si>
  <si>
    <t xml:space="preserve">✔ Above 1.0 target</t>
  </si>
  <si>
    <t xml:space="preserve">Annualized Return</t>
  </si>
  <si>
    <t xml:space="preserve">Daily mean × 252 trading days</t>
  </si>
  <si>
    <t xml:space="preserve">23.19%</t>
  </si>
  <si>
    <t xml:space="preserve">29.94%</t>
  </si>
  <si>
    <t xml:space="preserve">✔ +675bps improvement</t>
  </si>
  <si>
    <t xml:space="preserve">Annualized Volatility</t>
  </si>
  <si>
    <t xml:space="preserve">Daily std × √252</t>
  </si>
  <si>
    <t xml:space="preserve">18.94%</t>
  </si>
  <si>
    <t xml:space="preserve">19.05%</t>
  </si>
  <si>
    <t xml:space="preserve">~ Maintained</t>
  </si>
  <si>
    <t xml:space="preserve">Max Drawdown (est)</t>
  </si>
  <si>
    <t xml:space="preserve">Peak-to-trough decline</t>
  </si>
  <si>
    <t xml:space="preserve">~-24.5%</t>
  </si>
  <si>
    <t xml:space="preserve">~-21.8%</t>
  </si>
  <si>
    <t xml:space="preserve">✔ Reduced tail risk</t>
  </si>
  <si>
    <t xml:space="preserve">Sortino Ratio (est)</t>
  </si>
  <si>
    <t xml:space="preserve">Return / Downside deviation</t>
  </si>
  <si>
    <t xml:space="preserve">~1.15</t>
  </si>
  <si>
    <t xml:space="preserve">~1.48</t>
  </si>
  <si>
    <t xml:space="preserve">✔ Superior downside profile</t>
  </si>
  <si>
    <t xml:space="preserve">MODEL ASSUMPTIONS</t>
  </si>
  <si>
    <t xml:space="preserve">PARAMETER</t>
  </si>
  <si>
    <t xml:space="preserve">VALUE</t>
  </si>
  <si>
    <t xml:space="preserve">DESCRIPTION</t>
  </si>
  <si>
    <t xml:space="preserve">Risk-Free Rate</t>
  </si>
  <si>
    <t xml:space="preserve">5.25%</t>
  </si>
  <si>
    <t xml:space="preserve">Fed Funds Rate (Feb 2026)</t>
  </si>
  <si>
    <t xml:space="preserve">Confidence Level</t>
  </si>
  <si>
    <t xml:space="preserve">99%</t>
  </si>
  <si>
    <t xml:space="preserve">VaR/CVaR confidence interval</t>
  </si>
  <si>
    <t xml:space="preserve">Trading Days/Year</t>
  </si>
  <si>
    <t xml:space="preserve">252</t>
  </si>
  <si>
    <t xml:space="preserve">Standard US equity market</t>
  </si>
  <si>
    <t xml:space="preserve">AUM</t>
  </si>
  <si>
    <t xml:space="preserve">$500,000,000</t>
  </si>
  <si>
    <t xml:space="preserve">Assets Under Management</t>
  </si>
  <si>
    <t xml:space="preserve">Weight Constraints</t>
  </si>
  <si>
    <t xml:space="preserve">2% – 25%</t>
  </si>
  <si>
    <t xml:space="preserve">Min/max per position</t>
  </si>
  <si>
    <t xml:space="preserve">Data Period</t>
  </si>
  <si>
    <t xml:space="preserve">756 days (~3 yrs)</t>
  </si>
  <si>
    <t xml:space="preserve">Historical returns used</t>
  </si>
  <si>
    <t xml:space="preserve">QUANTITATIVE METHODOLOGY  —  Alpha Capital Management</t>
  </si>
  <si>
    <t xml:space="preserve">PROBLEM STATEMENT</t>
  </si>
  <si>
    <t xml:space="preserve">Context:</t>
  </si>
  <si>
    <t xml:space="preserve">Alpha Capital Management ($500M AUM) identified that its equity portfolio was underperforming relative to the S&amp;P 500 benchmark with excessive risk concentration.</t>
  </si>
  <si>
    <t xml:space="preserve">Challenge:</t>
  </si>
  <si>
    <t xml:space="preserve">The Risk Committee required: (1) identification of value-destructive positions, (2) re-optimization of asset allocation under real-world constraints, (3) calculation of regulatory risk metrics, and (4) actionable executive recommendations.</t>
  </si>
  <si>
    <t xml:space="preserve">SOLUTION ARCHITECTURE</t>
  </si>
  <si>
    <t xml:space="preserve">Python Engine:</t>
  </si>
  <si>
    <t xml:space="preserve">scipy.optimize + numpy for Markowitz mean-variance optimization. Portfolio weights constrained between 2%-25% per position. Objective: maximize Sharpe Ratio subject to full investment constraint.</t>
  </si>
  <si>
    <t xml:space="preserve">Excel Dashboard:</t>
  </si>
  <si>
    <t xml:space="preserve">Interactive reporting layer with KPI cards, allocation tables, and Monte Carlo results. Color-coded inputs (blue) vs. formulas (black) per industry standards.</t>
  </si>
  <si>
    <t xml:space="preserve">Java Risk Engine:</t>
  </si>
  <si>
    <t xml:space="preserve">Real-time risk calculator implementing VaR, CVaR, Sharpe, and Beta. Designed as a standalone microservice that can be integrated into trading systems via REST API or direct invocation.</t>
  </si>
  <si>
    <t xml:space="preserve">KEY FORMULAS</t>
  </si>
  <si>
    <t xml:space="preserve">Markowitz Opt.:</t>
  </si>
  <si>
    <t xml:space="preserve">max w'μ - λ·w'Σw  subject to: Σwᵢ=1, 0.02≤wᵢ≤0.25</t>
  </si>
  <si>
    <t xml:space="preserve">Sharpe Ratio:</t>
  </si>
  <si>
    <t xml:space="preserve">(Rₚ - Rᶠ) / σₚ   where Rᶠ = 5.25% (Fed Funds Rate)</t>
  </si>
  <si>
    <t xml:space="preserve">VaR Historical:</t>
  </si>
  <si>
    <t xml:space="preserve">-Percentile(portfolio_returns × AUM, 1%)</t>
  </si>
  <si>
    <t xml:space="preserve">CVaR:</t>
  </si>
  <si>
    <t xml:space="preserve">E[loss | loss &gt; VaR] = mean of worst 1% scenarios</t>
  </si>
  <si>
    <t xml:space="preserve">Beta:</t>
  </si>
  <si>
    <t xml:space="preserve">Cov(Rₚ, R_benchmark) / Var(R_benchmark)</t>
  </si>
  <si>
    <t xml:space="preserve">TOOLS &amp; TECHNOLOGIES</t>
  </si>
  <si>
    <t xml:space="preserve">Python 3.11:</t>
  </si>
  <si>
    <t xml:space="preserve">NumPy, Pandas, SciPy (optimization), openpyxl (Excel generation)</t>
  </si>
  <si>
    <t xml:space="preserve">Excel:</t>
  </si>
  <si>
    <t xml:space="preserve">Financial modeling dashboard with dynamic formulas, conditional formatting, KPI scorecards, and color-coded inputs per CFA/IB standards</t>
  </si>
  <si>
    <t xml:space="preserve">Java 17:</t>
  </si>
  <si>
    <t xml:space="preserve">Object-oriented risk engine with encapsulated position management, matrix operations, and formatted console reporting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</si>
</sst>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\$#,##0.0"/>
    <numFmt numFmtId="167" formatCode="\+0.0%;\-0.0%"/>
    <numFmt numFmtId="168" formatCode="\$#,##0.0;&quot;($&quot;#,##0.0\);\-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C9A84C"/>
      <name val="Calibri"/>
      <family val="0"/>
      <charset val="1"/>
    </font>
    <font>
      <i val="true"/>
      <sz val="10"/>
      <color rgb="FFF5DFA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C9A84C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i val="true"/>
      <sz val="9"/>
      <color rgb="FF00640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0"/>
      <color rgb="FF0D1B2A"/>
      <name val="Calibri"/>
      <family val="0"/>
      <charset val="1"/>
    </font>
    <font>
      <sz val="9"/>
      <color rgb="FF000000"/>
      <name val="Calibri"/>
      <family val="0"/>
      <charset val="1"/>
    </font>
    <font>
      <sz val="10"/>
      <color rgb="FF0000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006400"/>
      <name val="Calibri"/>
      <family val="0"/>
      <charset val="1"/>
    </font>
    <font>
      <b val="true"/>
      <sz val="10"/>
      <color rgb="FFCC0000"/>
      <name val="Calibri"/>
      <family val="0"/>
      <charset val="1"/>
    </font>
    <font>
      <b val="true"/>
      <sz val="10"/>
      <color rgb="FFC9A84C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i val="true"/>
      <sz val="8"/>
      <color rgb="FF888888"/>
      <name val="Calibri"/>
      <family val="0"/>
      <charset val="1"/>
    </font>
    <font>
      <b val="true"/>
      <sz val="14"/>
      <color rgb="FFC9A84C"/>
      <name val="Calibri"/>
      <family val="0"/>
      <charset val="1"/>
    </font>
    <font>
      <b val="true"/>
      <sz val="9"/>
      <color rgb="FF0000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0D1B2A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1B3A5C"/>
        <bgColor rgb="FF333333"/>
      </patternFill>
    </fill>
    <fill>
      <patternFill patternType="solid">
        <fgColor rgb="FFD6F0D6"/>
        <bgColor rgb="FFCCFFFF"/>
      </patternFill>
    </fill>
    <fill>
      <patternFill patternType="solid">
        <fgColor rgb="FFF2F4F6"/>
        <bgColor rgb="FFFFFFFF"/>
      </patternFill>
    </fill>
    <fill>
      <patternFill patternType="solid">
        <fgColor rgb="FFFFFFFF"/>
        <bgColor rgb="FFF2F4F6"/>
      </patternFill>
    </fill>
    <fill>
      <patternFill patternType="solid">
        <fgColor rgb="FFFAD4D4"/>
        <bgColor rgb="FFF5DFA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2F4F6"/>
      <rgbColor rgb="FFCCFFFF"/>
      <rgbColor rgb="FF660066"/>
      <rgbColor rgb="FFFF8080"/>
      <rgbColor rgb="FF0066CC"/>
      <rgbColor rgb="FFFAD4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F0D6"/>
      <rgbColor rgb="FFFFFF99"/>
      <rgbColor rgb="FF99CCFF"/>
      <rgbColor rgb="FFFF99CC"/>
      <rgbColor rgb="FFCC99FF"/>
      <rgbColor rgb="FFF5DFA0"/>
      <rgbColor rgb="FF3366FF"/>
      <rgbColor rgb="FF33CCCC"/>
      <rgbColor rgb="FF99CC00"/>
      <rgbColor rgb="FFFFCC00"/>
      <rgbColor rgb="FFFF9900"/>
      <rgbColor rgb="FFFF6600"/>
      <rgbColor rgb="FF666699"/>
      <rgbColor rgb="FFC9A84C"/>
      <rgbColor rgb="FF1B3A5C"/>
      <rgbColor rgb="FF339966"/>
      <rgbColor rgb="FF0D1B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8" min="3" style="0" width="14"/>
    <col collapsed="false" customWidth="true" hidden="false" outlineLevel="0" max="9" min="9" style="0" width="2"/>
  </cols>
  <sheetData>
    <row r="1" customFormat="false" ht="45" hidden="false" customHeight="true" outlineLevel="0" collapsed="false">
      <c r="B1" s="1" t="s">
        <v>0</v>
      </c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B2" s="2" t="s">
        <v>1</v>
      </c>
      <c r="C2" s="2"/>
      <c r="D2" s="2"/>
      <c r="E2" s="2"/>
      <c r="F2" s="2"/>
      <c r="G2" s="2"/>
      <c r="H2" s="2"/>
    </row>
    <row r="4" customFormat="false" ht="13.5" hidden="false" customHeight="true" outlineLevel="0" collapsed="false">
      <c r="B4" s="3" t="s">
        <v>2</v>
      </c>
      <c r="C4" s="3"/>
      <c r="D4" s="3"/>
      <c r="E4" s="3"/>
      <c r="F4" s="3"/>
      <c r="G4" s="3"/>
      <c r="H4" s="3"/>
    </row>
    <row r="5" customFormat="false" ht="36" hidden="false" customHeight="true" outlineLevel="0" collapsed="false"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</row>
    <row r="6" customFormat="false" ht="21.75" hidden="false" customHeight="true" outlineLevel="0" collapsed="false">
      <c r="B6" s="5" t="s">
        <v>9</v>
      </c>
      <c r="C6" s="5" t="s">
        <v>10</v>
      </c>
      <c r="D6" s="6" t="s">
        <v>11</v>
      </c>
      <c r="E6" s="5" t="s">
        <v>12</v>
      </c>
      <c r="F6" s="5" t="s">
        <v>13</v>
      </c>
      <c r="G6" s="5" t="s">
        <v>14</v>
      </c>
    </row>
    <row r="7" customFormat="false" ht="13.5" hidden="false" customHeight="true" outlineLevel="0" collapsed="false">
      <c r="B7" s="7" t="s">
        <v>15</v>
      </c>
      <c r="C7" s="7" t="s">
        <v>16</v>
      </c>
      <c r="D7" s="7" t="s">
        <v>17</v>
      </c>
      <c r="E7" s="7" t="s">
        <v>18</v>
      </c>
      <c r="F7" s="7" t="s">
        <v>19</v>
      </c>
      <c r="G7" s="7" t="s">
        <v>20</v>
      </c>
    </row>
    <row r="9" customFormat="false" ht="15.75" hidden="false" customHeight="true" outlineLevel="0" collapsed="false">
      <c r="B9" s="3" t="s">
        <v>21</v>
      </c>
      <c r="C9" s="3"/>
      <c r="D9" s="3"/>
      <c r="E9" s="3"/>
      <c r="F9" s="3"/>
      <c r="G9" s="3"/>
      <c r="H9" s="3"/>
    </row>
    <row r="10" customFormat="false" ht="15" hidden="false" customHeight="false" outlineLevel="0" collapsed="false">
      <c r="B10" s="8" t="s">
        <v>22</v>
      </c>
      <c r="C10" s="8" t="s">
        <v>23</v>
      </c>
      <c r="D10" s="8" t="s">
        <v>24</v>
      </c>
      <c r="E10" s="8" t="s">
        <v>25</v>
      </c>
      <c r="F10" s="8" t="s">
        <v>26</v>
      </c>
      <c r="G10" s="8" t="s">
        <v>27</v>
      </c>
      <c r="H10" s="8" t="s">
        <v>28</v>
      </c>
    </row>
    <row r="11" customFormat="false" ht="15.75" hidden="false" customHeight="true" outlineLevel="0" collapsed="false">
      <c r="B11" s="9" t="s">
        <v>29</v>
      </c>
      <c r="C11" s="10" t="s">
        <v>30</v>
      </c>
      <c r="D11" s="11" t="n">
        <v>0.18</v>
      </c>
      <c r="E11" s="12" t="n">
        <v>0.25</v>
      </c>
      <c r="F11" s="13" t="s">
        <v>31</v>
      </c>
      <c r="G11" s="14" t="n">
        <v>90</v>
      </c>
      <c r="H11" s="15" t="n">
        <v>125</v>
      </c>
    </row>
    <row r="12" customFormat="false" ht="15.75" hidden="false" customHeight="true" outlineLevel="0" collapsed="false">
      <c r="B12" s="9" t="s">
        <v>32</v>
      </c>
      <c r="C12" s="10" t="s">
        <v>30</v>
      </c>
      <c r="D12" s="11" t="n">
        <v>0.15</v>
      </c>
      <c r="E12" s="12" t="n">
        <v>0.25</v>
      </c>
      <c r="F12" s="13" t="s">
        <v>33</v>
      </c>
      <c r="G12" s="14" t="n">
        <v>75</v>
      </c>
      <c r="H12" s="15" t="n">
        <v>125</v>
      </c>
    </row>
    <row r="13" customFormat="false" ht="15.75" hidden="false" customHeight="true" outlineLevel="0" collapsed="false">
      <c r="B13" s="9" t="s">
        <v>34</v>
      </c>
      <c r="C13" s="10" t="s">
        <v>30</v>
      </c>
      <c r="D13" s="11" t="n">
        <v>0.12</v>
      </c>
      <c r="E13" s="16" t="n">
        <v>0.0470305521445472</v>
      </c>
      <c r="F13" s="17" t="s">
        <v>35</v>
      </c>
      <c r="G13" s="14" t="n">
        <v>60</v>
      </c>
      <c r="H13" s="18" t="n">
        <v>23.5152760722736</v>
      </c>
    </row>
    <row r="14" customFormat="false" ht="15.75" hidden="false" customHeight="true" outlineLevel="0" collapsed="false">
      <c r="B14" s="9" t="s">
        <v>36</v>
      </c>
      <c r="C14" s="10" t="s">
        <v>37</v>
      </c>
      <c r="D14" s="11" t="n">
        <v>0.1</v>
      </c>
      <c r="E14" s="16" t="n">
        <v>0.0200000000000003</v>
      </c>
      <c r="F14" s="17" t="s">
        <v>38</v>
      </c>
      <c r="G14" s="14" t="n">
        <v>50</v>
      </c>
      <c r="H14" s="18" t="n">
        <v>10.0000000000002</v>
      </c>
    </row>
    <row r="15" customFormat="false" ht="15.75" hidden="false" customHeight="true" outlineLevel="0" collapsed="false">
      <c r="B15" s="9" t="s">
        <v>39</v>
      </c>
      <c r="C15" s="10" t="s">
        <v>30</v>
      </c>
      <c r="D15" s="11" t="n">
        <v>0.08</v>
      </c>
      <c r="E15" s="12" t="n">
        <v>0.102969447855453</v>
      </c>
      <c r="F15" s="13" t="s">
        <v>40</v>
      </c>
      <c r="G15" s="14" t="n">
        <v>40</v>
      </c>
      <c r="H15" s="15" t="n">
        <v>51.4847239277265</v>
      </c>
    </row>
    <row r="16" customFormat="false" ht="15.75" hidden="false" customHeight="true" outlineLevel="0" collapsed="false">
      <c r="B16" s="9" t="s">
        <v>41</v>
      </c>
      <c r="C16" s="10" t="s">
        <v>42</v>
      </c>
      <c r="D16" s="11" t="n">
        <v>0.12</v>
      </c>
      <c r="E16" s="16" t="n">
        <v>0.0200000000000001</v>
      </c>
      <c r="F16" s="17" t="s">
        <v>43</v>
      </c>
      <c r="G16" s="14" t="n">
        <v>60</v>
      </c>
      <c r="H16" s="18" t="n">
        <v>10</v>
      </c>
    </row>
    <row r="17" customFormat="false" ht="15.75" hidden="false" customHeight="true" outlineLevel="0" collapsed="false">
      <c r="B17" s="9" t="s">
        <v>44</v>
      </c>
      <c r="C17" s="10" t="s">
        <v>42</v>
      </c>
      <c r="D17" s="11" t="n">
        <v>0.08</v>
      </c>
      <c r="E17" s="16" t="n">
        <v>0.02</v>
      </c>
      <c r="F17" s="17" t="s">
        <v>45</v>
      </c>
      <c r="G17" s="14" t="n">
        <v>40</v>
      </c>
      <c r="H17" s="18" t="n">
        <v>10</v>
      </c>
    </row>
    <row r="18" customFormat="false" ht="15.75" hidden="false" customHeight="true" outlineLevel="0" collapsed="false">
      <c r="B18" s="9" t="s">
        <v>46</v>
      </c>
      <c r="C18" s="10" t="s">
        <v>42</v>
      </c>
      <c r="D18" s="11" t="n">
        <v>0.07</v>
      </c>
      <c r="E18" s="16" t="n">
        <v>0.0200000000000002</v>
      </c>
      <c r="F18" s="17" t="s">
        <v>47</v>
      </c>
      <c r="G18" s="14" t="n">
        <v>35</v>
      </c>
      <c r="H18" s="18" t="n">
        <v>10.0000000000001</v>
      </c>
    </row>
    <row r="19" customFormat="false" ht="15.75" hidden="false" customHeight="true" outlineLevel="0" collapsed="false">
      <c r="B19" s="9" t="s">
        <v>48</v>
      </c>
      <c r="C19" s="10" t="s">
        <v>49</v>
      </c>
      <c r="D19" s="11" t="n">
        <v>0.05</v>
      </c>
      <c r="E19" s="16" t="n">
        <v>0.0200000000000001</v>
      </c>
      <c r="F19" s="17" t="s">
        <v>50</v>
      </c>
      <c r="G19" s="14" t="n">
        <v>25</v>
      </c>
      <c r="H19" s="18" t="n">
        <v>10.0000000000001</v>
      </c>
    </row>
    <row r="20" customFormat="false" ht="15.75" hidden="false" customHeight="true" outlineLevel="0" collapsed="false">
      <c r="B20" s="9" t="s">
        <v>51</v>
      </c>
      <c r="C20" s="10" t="s">
        <v>52</v>
      </c>
      <c r="D20" s="11" t="n">
        <v>0.05</v>
      </c>
      <c r="E20" s="12" t="n">
        <v>0.249999999999999</v>
      </c>
      <c r="F20" s="13" t="s">
        <v>53</v>
      </c>
      <c r="G20" s="14" t="n">
        <v>25</v>
      </c>
      <c r="H20" s="15" t="n">
        <v>125</v>
      </c>
    </row>
    <row r="21" customFormat="false" ht="15.75" hidden="false" customHeight="true" outlineLevel="0" collapsed="false">
      <c r="B21" s="19" t="s">
        <v>54</v>
      </c>
      <c r="C21" s="20"/>
      <c r="D21" s="21" t="n">
        <f aca="false">SUM(D11:D20)</f>
        <v>1</v>
      </c>
      <c r="E21" s="21" t="n">
        <f aca="false">SUM(E11:E20)</f>
        <v>1</v>
      </c>
      <c r="F21" s="20"/>
      <c r="G21" s="22" t="n">
        <f aca="false">SUM(G11:G20)</f>
        <v>500</v>
      </c>
      <c r="H21" s="22" t="n">
        <f aca="false">SUM(H11:H20)</f>
        <v>500</v>
      </c>
    </row>
    <row r="23" customFormat="false" ht="15" hidden="false" customHeight="false" outlineLevel="0" collapsed="false">
      <c r="B23" s="3" t="s">
        <v>55</v>
      </c>
      <c r="C23" s="3"/>
      <c r="D23" s="3"/>
      <c r="E23" s="3"/>
      <c r="F23" s="3"/>
      <c r="G23" s="3"/>
      <c r="H23" s="3"/>
    </row>
    <row r="24" customFormat="false" ht="15.75" hidden="false" customHeight="true" outlineLevel="0" collapsed="false">
      <c r="C24" s="8" t="s">
        <v>56</v>
      </c>
      <c r="D24" s="8" t="s">
        <v>57</v>
      </c>
      <c r="E24" s="8" t="s">
        <v>58</v>
      </c>
      <c r="F24" s="8" t="s">
        <v>59</v>
      </c>
    </row>
    <row r="25" customFormat="false" ht="15.75" hidden="false" customHeight="true" outlineLevel="0" collapsed="false">
      <c r="C25" s="23" t="s">
        <v>60</v>
      </c>
      <c r="D25" s="18" t="n">
        <v>487.791939095546</v>
      </c>
      <c r="E25" s="24" t="n">
        <v>-0.024416121808909</v>
      </c>
      <c r="F25" s="25" t="n">
        <v>-12.2080609044545</v>
      </c>
    </row>
    <row r="26" customFormat="false" ht="15.75" hidden="false" customHeight="true" outlineLevel="0" collapsed="false">
      <c r="C26" s="26" t="s">
        <v>61</v>
      </c>
      <c r="D26" s="15" t="n">
        <v>664.145763610944</v>
      </c>
      <c r="E26" s="27" t="n">
        <v>0.328291527221889</v>
      </c>
      <c r="F26" s="28" t="n">
        <v>164.145763610944</v>
      </c>
    </row>
    <row r="27" customFormat="false" ht="15" hidden="false" customHeight="false" outlineLevel="0" collapsed="false">
      <c r="C27" s="29" t="s">
        <v>62</v>
      </c>
      <c r="D27" s="15" t="n">
        <v>907.311104871604</v>
      </c>
      <c r="E27" s="27" t="n">
        <v>0.814622209743208</v>
      </c>
      <c r="F27" s="28" t="n">
        <v>407.311104871604</v>
      </c>
    </row>
    <row r="29" customFormat="false" ht="15" hidden="false" customHeight="false" outlineLevel="0" collapsed="false">
      <c r="B29" s="30" t="s">
        <v>63</v>
      </c>
      <c r="C29" s="30"/>
      <c r="D29" s="30"/>
      <c r="E29" s="30"/>
      <c r="F29" s="30"/>
      <c r="G29" s="30"/>
      <c r="H29" s="30"/>
    </row>
  </sheetData>
  <mergeCells count="6">
    <mergeCell ref="B1:H1"/>
    <mergeCell ref="B2:H2"/>
    <mergeCell ref="B4:H4"/>
    <mergeCell ref="B9:H9"/>
    <mergeCell ref="B23:H23"/>
    <mergeCell ref="B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6" min="3" style="0" width="16"/>
    <col collapsed="false" customWidth="true" hidden="false" outlineLevel="0" max="7" min="7" style="0" width="2"/>
  </cols>
  <sheetData>
    <row r="1" customFormat="false" ht="39.75" hidden="false" customHeight="true" outlineLevel="0" collapsed="false">
      <c r="B1" s="31" t="s">
        <v>64</v>
      </c>
      <c r="C1" s="31"/>
      <c r="D1" s="31"/>
      <c r="E1" s="31"/>
      <c r="F1" s="31"/>
    </row>
    <row r="3" customFormat="false" ht="15" hidden="false" customHeight="false" outlineLevel="0" collapsed="false">
      <c r="B3" s="8" t="s">
        <v>65</v>
      </c>
      <c r="C3" s="8" t="s">
        <v>66</v>
      </c>
      <c r="D3" s="8" t="s">
        <v>67</v>
      </c>
      <c r="E3" s="8" t="s">
        <v>68</v>
      </c>
      <c r="F3" s="8" t="s">
        <v>69</v>
      </c>
    </row>
    <row r="4" customFormat="false" ht="15" hidden="false" customHeight="false" outlineLevel="0" collapsed="false">
      <c r="B4" s="32" t="s">
        <v>70</v>
      </c>
      <c r="C4" s="32" t="s">
        <v>71</v>
      </c>
      <c r="D4" s="32" t="s">
        <v>72</v>
      </c>
      <c r="E4" s="32" t="s">
        <v>73</v>
      </c>
      <c r="F4" s="32" t="s">
        <v>74</v>
      </c>
    </row>
    <row r="5" customFormat="false" ht="15" hidden="false" customHeight="false" outlineLevel="0" collapsed="false">
      <c r="B5" s="33" t="s">
        <v>75</v>
      </c>
      <c r="C5" s="33" t="s">
        <v>76</v>
      </c>
      <c r="D5" s="33" t="s">
        <v>77</v>
      </c>
      <c r="E5" s="33" t="s">
        <v>78</v>
      </c>
      <c r="F5" s="33" t="s">
        <v>79</v>
      </c>
    </row>
    <row r="6" customFormat="false" ht="15" hidden="false" customHeight="false" outlineLevel="0" collapsed="false">
      <c r="B6" s="32" t="s">
        <v>80</v>
      </c>
      <c r="C6" s="32" t="s">
        <v>81</v>
      </c>
      <c r="D6" s="32" t="s">
        <v>82</v>
      </c>
      <c r="E6" s="32" t="s">
        <v>83</v>
      </c>
      <c r="F6" s="32" t="s">
        <v>84</v>
      </c>
    </row>
    <row r="7" customFormat="false" ht="15" hidden="false" customHeight="false" outlineLevel="0" collapsed="false">
      <c r="B7" s="33" t="s">
        <v>85</v>
      </c>
      <c r="C7" s="33" t="s">
        <v>86</v>
      </c>
      <c r="D7" s="33" t="s">
        <v>87</v>
      </c>
      <c r="E7" s="33" t="s">
        <v>88</v>
      </c>
      <c r="F7" s="33" t="s">
        <v>89</v>
      </c>
    </row>
    <row r="8" customFormat="false" ht="15" hidden="false" customHeight="false" outlineLevel="0" collapsed="false">
      <c r="B8" s="32" t="s">
        <v>90</v>
      </c>
      <c r="C8" s="32" t="s">
        <v>91</v>
      </c>
      <c r="D8" s="32" t="s">
        <v>92</v>
      </c>
      <c r="E8" s="32" t="s">
        <v>93</v>
      </c>
      <c r="F8" s="32" t="s">
        <v>94</v>
      </c>
    </row>
    <row r="9" customFormat="false" ht="15" hidden="false" customHeight="false" outlineLevel="0" collapsed="false">
      <c r="B9" s="33" t="s">
        <v>95</v>
      </c>
      <c r="C9" s="33" t="s">
        <v>96</v>
      </c>
      <c r="D9" s="33" t="s">
        <v>97</v>
      </c>
      <c r="E9" s="33" t="s">
        <v>98</v>
      </c>
      <c r="F9" s="33" t="s">
        <v>99</v>
      </c>
    </row>
    <row r="10" customFormat="false" ht="15" hidden="false" customHeight="false" outlineLevel="0" collapsed="false">
      <c r="B10" s="32" t="s">
        <v>100</v>
      </c>
      <c r="C10" s="32" t="s">
        <v>101</v>
      </c>
      <c r="D10" s="32" t="s">
        <v>102</v>
      </c>
      <c r="E10" s="32" t="s">
        <v>103</v>
      </c>
      <c r="F10" s="32" t="s">
        <v>104</v>
      </c>
    </row>
    <row r="11" customFormat="false" ht="15" hidden="false" customHeight="false" outlineLevel="0" collapsed="false">
      <c r="B11" s="33" t="s">
        <v>105</v>
      </c>
      <c r="C11" s="33" t="s">
        <v>106</v>
      </c>
      <c r="D11" s="33" t="s">
        <v>107</v>
      </c>
      <c r="E11" s="33" t="s">
        <v>108</v>
      </c>
      <c r="F11" s="33" t="s">
        <v>109</v>
      </c>
    </row>
    <row r="13" customFormat="false" ht="13.5" hidden="false" customHeight="true" outlineLevel="0" collapsed="false">
      <c r="B13" s="3" t="s">
        <v>110</v>
      </c>
      <c r="C13" s="3"/>
      <c r="D13" s="3"/>
      <c r="E13" s="3"/>
      <c r="F13" s="3"/>
    </row>
    <row r="14" customFormat="false" ht="15" hidden="false" customHeight="false" outlineLevel="0" collapsed="false">
      <c r="B14" s="8" t="s">
        <v>111</v>
      </c>
      <c r="C14" s="8" t="s">
        <v>112</v>
      </c>
      <c r="D14" s="8" t="s">
        <v>113</v>
      </c>
    </row>
    <row r="15" customFormat="false" ht="15" hidden="false" customHeight="false" outlineLevel="0" collapsed="false">
      <c r="B15" s="34" t="s">
        <v>114</v>
      </c>
      <c r="C15" s="35" t="s">
        <v>115</v>
      </c>
      <c r="D15" s="36" t="s">
        <v>116</v>
      </c>
    </row>
    <row r="16" customFormat="false" ht="15" hidden="false" customHeight="false" outlineLevel="0" collapsed="false">
      <c r="B16" s="37" t="s">
        <v>117</v>
      </c>
      <c r="C16" s="38" t="s">
        <v>118</v>
      </c>
      <c r="D16" s="10" t="s">
        <v>119</v>
      </c>
    </row>
    <row r="17" customFormat="false" ht="15" hidden="false" customHeight="false" outlineLevel="0" collapsed="false">
      <c r="B17" s="34" t="s">
        <v>120</v>
      </c>
      <c r="C17" s="35" t="s">
        <v>121</v>
      </c>
      <c r="D17" s="36" t="s">
        <v>122</v>
      </c>
    </row>
    <row r="18" customFormat="false" ht="15" hidden="false" customHeight="false" outlineLevel="0" collapsed="false">
      <c r="B18" s="37" t="s">
        <v>123</v>
      </c>
      <c r="C18" s="38" t="s">
        <v>124</v>
      </c>
      <c r="D18" s="10" t="s">
        <v>125</v>
      </c>
    </row>
    <row r="19" customFormat="false" ht="15" hidden="false" customHeight="false" outlineLevel="0" collapsed="false">
      <c r="B19" s="34" t="s">
        <v>126</v>
      </c>
      <c r="C19" s="35" t="s">
        <v>127</v>
      </c>
      <c r="D19" s="36" t="s">
        <v>128</v>
      </c>
    </row>
    <row r="20" customFormat="false" ht="15" hidden="false" customHeight="false" outlineLevel="0" collapsed="false">
      <c r="B20" s="37" t="s">
        <v>129</v>
      </c>
      <c r="C20" s="38" t="s">
        <v>130</v>
      </c>
      <c r="D20" s="10" t="s">
        <v>131</v>
      </c>
    </row>
  </sheetData>
  <mergeCells count="2">
    <mergeCell ref="B1:F1"/>
    <mergeCell ref="B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60"/>
    <col collapsed="false" customWidth="true" hidden="false" outlineLevel="0" max="4" min="4" style="0" width="2"/>
  </cols>
  <sheetData>
    <row r="1" customFormat="false" ht="39.75" hidden="false" customHeight="true" outlineLevel="0" collapsed="false">
      <c r="B1" s="31" t="s">
        <v>132</v>
      </c>
      <c r="C1" s="31"/>
    </row>
    <row r="3" customFormat="false" ht="21.75" hidden="false" customHeight="true" outlineLevel="0" collapsed="false">
      <c r="B3" s="39" t="s">
        <v>133</v>
      </c>
      <c r="C3" s="39"/>
    </row>
    <row r="4" customFormat="false" ht="27.75" hidden="false" customHeight="true" outlineLevel="0" collapsed="false">
      <c r="B4" s="40" t="s">
        <v>134</v>
      </c>
      <c r="C4" s="41" t="s">
        <v>135</v>
      </c>
    </row>
    <row r="5" customFormat="false" ht="27.75" hidden="false" customHeight="true" outlineLevel="0" collapsed="false">
      <c r="B5" s="40" t="s">
        <v>136</v>
      </c>
      <c r="C5" s="41" t="s">
        <v>137</v>
      </c>
    </row>
    <row r="6" customFormat="false" ht="19.5" hidden="false" customHeight="true" outlineLevel="0" collapsed="false"/>
    <row r="7" customFormat="false" ht="21.75" hidden="false" customHeight="true" outlineLevel="0" collapsed="false">
      <c r="B7" s="39" t="s">
        <v>138</v>
      </c>
      <c r="C7" s="39"/>
    </row>
    <row r="8" customFormat="false" ht="27.75" hidden="false" customHeight="true" outlineLevel="0" collapsed="false">
      <c r="B8" s="40" t="s">
        <v>139</v>
      </c>
      <c r="C8" s="41" t="s">
        <v>140</v>
      </c>
    </row>
    <row r="9" customFormat="false" ht="27.75" hidden="false" customHeight="true" outlineLevel="0" collapsed="false">
      <c r="B9" s="40" t="s">
        <v>141</v>
      </c>
      <c r="C9" s="41" t="s">
        <v>142</v>
      </c>
    </row>
    <row r="10" customFormat="false" ht="27.75" hidden="false" customHeight="true" outlineLevel="0" collapsed="false">
      <c r="B10" s="40" t="s">
        <v>143</v>
      </c>
      <c r="C10" s="41" t="s">
        <v>144</v>
      </c>
    </row>
    <row r="11" customFormat="false" ht="19.5" hidden="false" customHeight="true" outlineLevel="0" collapsed="false"/>
    <row r="12" customFormat="false" ht="21.75" hidden="false" customHeight="true" outlineLevel="0" collapsed="false">
      <c r="B12" s="39" t="s">
        <v>145</v>
      </c>
      <c r="C12" s="39"/>
    </row>
    <row r="13" customFormat="false" ht="27.75" hidden="false" customHeight="true" outlineLevel="0" collapsed="false">
      <c r="B13" s="40" t="s">
        <v>146</v>
      </c>
      <c r="C13" s="41" t="s">
        <v>147</v>
      </c>
    </row>
    <row r="14" customFormat="false" ht="27.75" hidden="false" customHeight="true" outlineLevel="0" collapsed="false">
      <c r="B14" s="40" t="s">
        <v>148</v>
      </c>
      <c r="C14" s="41" t="s">
        <v>149</v>
      </c>
    </row>
    <row r="15" customFormat="false" ht="27.75" hidden="false" customHeight="true" outlineLevel="0" collapsed="false">
      <c r="B15" s="40" t="s">
        <v>150</v>
      </c>
      <c r="C15" s="41" t="s">
        <v>151</v>
      </c>
    </row>
    <row r="16" customFormat="false" ht="27.75" hidden="false" customHeight="true" outlineLevel="0" collapsed="false">
      <c r="B16" s="40" t="s">
        <v>152</v>
      </c>
      <c r="C16" s="41" t="s">
        <v>153</v>
      </c>
    </row>
    <row r="17" customFormat="false" ht="27.75" hidden="false" customHeight="true" outlineLevel="0" collapsed="false">
      <c r="B17" s="40" t="s">
        <v>154</v>
      </c>
      <c r="C17" s="41" t="s">
        <v>155</v>
      </c>
    </row>
    <row r="18" customFormat="false" ht="19.5" hidden="false" customHeight="true" outlineLevel="0" collapsed="false"/>
    <row r="19" customFormat="false" ht="21.75" hidden="false" customHeight="true" outlineLevel="0" collapsed="false">
      <c r="B19" s="39" t="s">
        <v>156</v>
      </c>
      <c r="C19" s="39"/>
    </row>
    <row r="20" customFormat="false" ht="27.75" hidden="false" customHeight="true" outlineLevel="0" collapsed="false">
      <c r="B20" s="40" t="s">
        <v>157</v>
      </c>
      <c r="C20" s="41" t="s">
        <v>158</v>
      </c>
    </row>
    <row r="21" customFormat="false" ht="27.75" hidden="false" customHeight="true" outlineLevel="0" collapsed="false">
      <c r="B21" s="40" t="s">
        <v>159</v>
      </c>
      <c r="C21" s="41" t="s">
        <v>160</v>
      </c>
    </row>
    <row r="22" customFormat="false" ht="27.75" hidden="false" customHeight="true" outlineLevel="0" collapsed="false">
      <c r="B22" s="40" t="s">
        <v>161</v>
      </c>
      <c r="C22" s="41" t="s">
        <v>162</v>
      </c>
    </row>
  </sheetData>
  <mergeCells count="5">
    <mergeCell ref="B1:C1"/>
    <mergeCell ref="B3:C3"/>
    <mergeCell ref="B7:C7"/>
    <mergeCell ref="B12:C12"/>
    <mergeCell ref="B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2026-02-20T10:35:39Z</dcterms:created>
  <dc:creator>openpyxl</dc:creator>
  <dc:description/>
  <dc:language>en-US</dc:language>
  <cp:lastModifiedBy/>
  <dcterms:modified xsi:type="dcterms:W3CDTF">2026-02-20T10:35:39Z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